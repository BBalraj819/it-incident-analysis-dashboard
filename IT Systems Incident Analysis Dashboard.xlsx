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Sheet1!$A$1:$J$16</definedName>
  </definedNames>
  <calcPr/>
</workbook>
</file>

<file path=xl/sharedStrings.xml><?xml version="1.0" encoding="utf-8"?>
<sst xmlns="http://schemas.openxmlformats.org/spreadsheetml/2006/main" count="126" uniqueCount="54">
  <si>
    <t>Ticket ID</t>
  </si>
  <si>
    <t>System Name</t>
  </si>
  <si>
    <t>Issue Type</t>
  </si>
  <si>
    <t>Priority</t>
  </si>
  <si>
    <t>Status</t>
  </si>
  <si>
    <t>Date Opened</t>
  </si>
  <si>
    <t>Date Closed</t>
  </si>
  <si>
    <t>Resolution Time Hours</t>
  </si>
  <si>
    <t>SLA Breach</t>
  </si>
  <si>
    <t>Assigned Team</t>
  </si>
  <si>
    <t>INC1001</t>
  </si>
  <si>
    <t>Email Server</t>
  </si>
  <si>
    <t>Login Issue</t>
  </si>
  <si>
    <t>Medium</t>
  </si>
  <si>
    <t>Resolved</t>
  </si>
  <si>
    <t>No</t>
  </si>
  <si>
    <t>Help Desk</t>
  </si>
  <si>
    <t>Average Resolution Time</t>
  </si>
  <si>
    <t>INC1002</t>
  </si>
  <si>
    <t>Claims App</t>
  </si>
  <si>
    <t>Application Error</t>
  </si>
  <si>
    <t>High</t>
  </si>
  <si>
    <t>Yes</t>
  </si>
  <si>
    <t>Application Support</t>
  </si>
  <si>
    <t>SLA Breach %</t>
  </si>
  <si>
    <t>INC1003</t>
  </si>
  <si>
    <t>VPN</t>
  </si>
  <si>
    <t>Connectivity Issue</t>
  </si>
  <si>
    <t>Network Support</t>
  </si>
  <si>
    <t>INC1004</t>
  </si>
  <si>
    <t>Database Server</t>
  </si>
  <si>
    <t>Performance Issue</t>
  </si>
  <si>
    <t>Database Team</t>
  </si>
  <si>
    <t>Ticket Count</t>
  </si>
  <si>
    <t>INC1005</t>
  </si>
  <si>
    <t>Password Reset</t>
  </si>
  <si>
    <t>Low</t>
  </si>
  <si>
    <t>INC1006</t>
  </si>
  <si>
    <t>Slow Response</t>
  </si>
  <si>
    <t>INC1007</t>
  </si>
  <si>
    <t>Network Printer</t>
  </si>
  <si>
    <t>Hardware Issue</t>
  </si>
  <si>
    <t>Desktop Support</t>
  </si>
  <si>
    <t>INC1008</t>
  </si>
  <si>
    <t>INC1009</t>
  </si>
  <si>
    <t>Access Issue</t>
  </si>
  <si>
    <t>INC1010</t>
  </si>
  <si>
    <t>Open</t>
  </si>
  <si>
    <t/>
  </si>
  <si>
    <t>INC1011</t>
  </si>
  <si>
    <t>INC1012</t>
  </si>
  <si>
    <t>INC1013</t>
  </si>
  <si>
    <t>INC1014</t>
  </si>
  <si>
    <t>INC1015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</si>
</sst>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0.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Font="1" applyNumberFormat="1"/>
    <xf borderId="0" fillId="0" fontId="1" numFmtId="10" xfId="0" applyFont="1" applyNumberFormat="1"/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Ticket Count vs. System Name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Sheet1!$M$5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Sheet1!$L$6:$L$10</c:f>
            </c:strRef>
          </c:cat>
          <c:val>
            <c:numRef>
              <c:f>Sheet1!$M$6:$M$10</c:f>
              <c:numCache/>
            </c:numRef>
          </c:val>
        </c:ser>
        <c:axId val="1492634327"/>
        <c:axId val="1130311589"/>
      </c:barChart>
      <c:catAx>
        <c:axId val="14926343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System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311589"/>
      </c:catAx>
      <c:valAx>
        <c:axId val="113031158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Ticket 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26343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11</xdr:col>
      <xdr:colOff>9525</xdr:colOff>
      <xdr:row>11</xdr:row>
      <xdr:rowOff>19050</xdr:rowOff>
    </xdr:from>
    <xdr:ext cx="4391025" cy="2609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3" width="17.25"/>
    <col customWidth="1" min="10" max="10" width="17.25"/>
    <col customWidth="1" min="12" max="12" width="1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2">
        <v>46113.0</v>
      </c>
      <c r="G2" s="2">
        <v>46113.0</v>
      </c>
      <c r="H2" s="1">
        <v>3.0</v>
      </c>
      <c r="I2" s="1" t="s">
        <v>15</v>
      </c>
      <c r="J2" s="1" t="s">
        <v>16</v>
      </c>
      <c r="L2" s="1" t="s">
        <v>17</v>
      </c>
      <c r="M2" s="3">
        <f>AVERAGE(H2:H16)</f>
        <v>6.933333333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14</v>
      </c>
      <c r="F3" s="2">
        <v>46114.0</v>
      </c>
      <c r="G3" s="2">
        <v>46115.0</v>
      </c>
      <c r="H3" s="1">
        <v>10.0</v>
      </c>
      <c r="I3" s="1" t="s">
        <v>22</v>
      </c>
      <c r="J3" s="1" t="s">
        <v>23</v>
      </c>
      <c r="L3" s="1" t="s">
        <v>24</v>
      </c>
      <c r="M3" s="4">
        <f>COUNTIF(I2:I16,"Yes")/COUNTA(I2:I16)</f>
        <v>0.4</v>
      </c>
    </row>
    <row r="4">
      <c r="A4" s="1" t="s">
        <v>25</v>
      </c>
      <c r="B4" s="1" t="s">
        <v>26</v>
      </c>
      <c r="C4" s="1" t="s">
        <v>27</v>
      </c>
      <c r="D4" s="1" t="s">
        <v>21</v>
      </c>
      <c r="E4" s="1" t="s">
        <v>14</v>
      </c>
      <c r="F4" s="2">
        <v>46114.0</v>
      </c>
      <c r="G4" s="2">
        <v>46114.0</v>
      </c>
      <c r="H4" s="1">
        <v>4.0</v>
      </c>
      <c r="I4" s="1" t="s">
        <v>15</v>
      </c>
      <c r="J4" s="1" t="s">
        <v>28</v>
      </c>
    </row>
    <row r="5">
      <c r="A5" s="1" t="s">
        <v>29</v>
      </c>
      <c r="B5" s="1" t="s">
        <v>30</v>
      </c>
      <c r="C5" s="1" t="s">
        <v>31</v>
      </c>
      <c r="D5" s="1" t="s">
        <v>21</v>
      </c>
      <c r="E5" s="1" t="s">
        <v>14</v>
      </c>
      <c r="F5" s="2">
        <v>46115.0</v>
      </c>
      <c r="G5" s="2">
        <v>46116.0</v>
      </c>
      <c r="H5" s="1">
        <v>12.0</v>
      </c>
      <c r="I5" s="1" t="s">
        <v>22</v>
      </c>
      <c r="J5" s="1" t="s">
        <v>32</v>
      </c>
      <c r="L5" s="1" t="s">
        <v>1</v>
      </c>
      <c r="M5" s="1" t="s">
        <v>33</v>
      </c>
    </row>
    <row r="6">
      <c r="A6" s="1" t="s">
        <v>34</v>
      </c>
      <c r="B6" s="1" t="s">
        <v>11</v>
      </c>
      <c r="C6" s="1" t="s">
        <v>35</v>
      </c>
      <c r="D6" s="1" t="s">
        <v>36</v>
      </c>
      <c r="E6" s="1" t="s">
        <v>14</v>
      </c>
      <c r="F6" s="2">
        <v>46116.0</v>
      </c>
      <c r="G6" s="2">
        <v>46116.0</v>
      </c>
      <c r="H6" s="1">
        <v>1.0</v>
      </c>
      <c r="I6" s="1" t="s">
        <v>15</v>
      </c>
      <c r="J6" s="1" t="s">
        <v>16</v>
      </c>
      <c r="L6" s="1" t="s">
        <v>11</v>
      </c>
      <c r="M6" s="5">
        <f t="shared" ref="M6:M10" si="1">COUNTIF(B:B, L6)</f>
        <v>3</v>
      </c>
    </row>
    <row r="7">
      <c r="A7" s="1" t="s">
        <v>37</v>
      </c>
      <c r="B7" s="1" t="s">
        <v>19</v>
      </c>
      <c r="C7" s="1" t="s">
        <v>38</v>
      </c>
      <c r="D7" s="1" t="s">
        <v>13</v>
      </c>
      <c r="E7" s="1" t="s">
        <v>14</v>
      </c>
      <c r="F7" s="2">
        <v>46117.0</v>
      </c>
      <c r="G7" s="2">
        <v>46117.0</v>
      </c>
      <c r="H7" s="1">
        <v>5.0</v>
      </c>
      <c r="I7" s="1" t="s">
        <v>15</v>
      </c>
      <c r="J7" s="1" t="s">
        <v>23</v>
      </c>
      <c r="L7" s="1" t="s">
        <v>19</v>
      </c>
      <c r="M7" s="5">
        <f t="shared" si="1"/>
        <v>4</v>
      </c>
    </row>
    <row r="8">
      <c r="A8" s="1" t="s">
        <v>39</v>
      </c>
      <c r="B8" s="1" t="s">
        <v>40</v>
      </c>
      <c r="C8" s="1" t="s">
        <v>41</v>
      </c>
      <c r="D8" s="1" t="s">
        <v>36</v>
      </c>
      <c r="E8" s="1" t="s">
        <v>14</v>
      </c>
      <c r="F8" s="2">
        <v>46117.0</v>
      </c>
      <c r="G8" s="2">
        <v>46118.0</v>
      </c>
      <c r="H8" s="1">
        <v>8.0</v>
      </c>
      <c r="I8" s="1" t="s">
        <v>15</v>
      </c>
      <c r="J8" s="1" t="s">
        <v>42</v>
      </c>
      <c r="L8" s="1" t="s">
        <v>26</v>
      </c>
      <c r="M8" s="5">
        <f t="shared" si="1"/>
        <v>3</v>
      </c>
    </row>
    <row r="9">
      <c r="A9" s="1" t="s">
        <v>43</v>
      </c>
      <c r="B9" s="1" t="s">
        <v>26</v>
      </c>
      <c r="C9" s="1" t="s">
        <v>27</v>
      </c>
      <c r="D9" s="1" t="s">
        <v>13</v>
      </c>
      <c r="E9" s="1" t="s">
        <v>14</v>
      </c>
      <c r="F9" s="2">
        <v>46118.0</v>
      </c>
      <c r="G9" s="2">
        <v>46118.0</v>
      </c>
      <c r="H9" s="1">
        <v>3.0</v>
      </c>
      <c r="I9" s="1" t="s">
        <v>15</v>
      </c>
      <c r="J9" s="1" t="s">
        <v>28</v>
      </c>
      <c r="L9" s="1" t="s">
        <v>30</v>
      </c>
      <c r="M9" s="5">
        <f t="shared" si="1"/>
        <v>3</v>
      </c>
    </row>
    <row r="10">
      <c r="A10" s="1" t="s">
        <v>44</v>
      </c>
      <c r="B10" s="1" t="s">
        <v>30</v>
      </c>
      <c r="C10" s="1" t="s">
        <v>45</v>
      </c>
      <c r="D10" s="1" t="s">
        <v>13</v>
      </c>
      <c r="E10" s="1" t="s">
        <v>14</v>
      </c>
      <c r="F10" s="2">
        <v>46119.0</v>
      </c>
      <c r="G10" s="2">
        <v>46120.0</v>
      </c>
      <c r="H10" s="1">
        <v>9.0</v>
      </c>
      <c r="I10" s="1" t="s">
        <v>22</v>
      </c>
      <c r="J10" s="1" t="s">
        <v>32</v>
      </c>
      <c r="L10" s="1" t="s">
        <v>40</v>
      </c>
      <c r="M10" s="5">
        <f t="shared" si="1"/>
        <v>2</v>
      </c>
    </row>
    <row r="11">
      <c r="A11" s="1" t="s">
        <v>46</v>
      </c>
      <c r="B11" s="1" t="s">
        <v>19</v>
      </c>
      <c r="C11" s="1" t="s">
        <v>20</v>
      </c>
      <c r="D11" s="1" t="s">
        <v>21</v>
      </c>
      <c r="E11" s="1" t="s">
        <v>47</v>
      </c>
      <c r="F11" s="2">
        <v>46120.0</v>
      </c>
      <c r="G11" s="1" t="s">
        <v>48</v>
      </c>
      <c r="H11" s="1">
        <v>14.0</v>
      </c>
      <c r="I11" s="1" t="s">
        <v>22</v>
      </c>
      <c r="J11" s="1" t="s">
        <v>23</v>
      </c>
      <c r="L11" s="1"/>
    </row>
    <row r="12">
      <c r="A12" s="1" t="s">
        <v>49</v>
      </c>
      <c r="B12" s="1" t="s">
        <v>11</v>
      </c>
      <c r="C12" s="1" t="s">
        <v>12</v>
      </c>
      <c r="D12" s="1" t="s">
        <v>13</v>
      </c>
      <c r="E12" s="1" t="s">
        <v>14</v>
      </c>
      <c r="F12" s="2">
        <v>46121.0</v>
      </c>
      <c r="G12" s="2">
        <v>46121.0</v>
      </c>
      <c r="H12" s="1">
        <v>2.0</v>
      </c>
      <c r="I12" s="1" t="s">
        <v>15</v>
      </c>
      <c r="J12" s="1" t="s">
        <v>16</v>
      </c>
    </row>
    <row r="13">
      <c r="A13" s="1" t="s">
        <v>50</v>
      </c>
      <c r="B13" s="1" t="s">
        <v>26</v>
      </c>
      <c r="C13" s="1" t="s">
        <v>45</v>
      </c>
      <c r="D13" s="1" t="s">
        <v>36</v>
      </c>
      <c r="E13" s="1" t="s">
        <v>14</v>
      </c>
      <c r="F13" s="2">
        <v>46122.0</v>
      </c>
      <c r="G13" s="2">
        <v>46122.0</v>
      </c>
      <c r="H13" s="1">
        <v>2.0</v>
      </c>
      <c r="I13" s="1" t="s">
        <v>15</v>
      </c>
      <c r="J13" s="1" t="s">
        <v>28</v>
      </c>
    </row>
    <row r="14">
      <c r="A14" s="1" t="s">
        <v>51</v>
      </c>
      <c r="B14" s="1" t="s">
        <v>19</v>
      </c>
      <c r="C14" s="1" t="s">
        <v>38</v>
      </c>
      <c r="D14" s="1" t="s">
        <v>21</v>
      </c>
      <c r="E14" s="1" t="s">
        <v>14</v>
      </c>
      <c r="F14" s="2">
        <v>46123.0</v>
      </c>
      <c r="G14" s="2">
        <v>46124.0</v>
      </c>
      <c r="H14" s="1">
        <v>11.0</v>
      </c>
      <c r="I14" s="1" t="s">
        <v>22</v>
      </c>
      <c r="J14" s="1" t="s">
        <v>23</v>
      </c>
    </row>
    <row r="15">
      <c r="A15" s="1" t="s">
        <v>52</v>
      </c>
      <c r="B15" s="1" t="s">
        <v>30</v>
      </c>
      <c r="C15" s="1" t="s">
        <v>31</v>
      </c>
      <c r="D15" s="1" t="s">
        <v>21</v>
      </c>
      <c r="E15" s="1" t="s">
        <v>47</v>
      </c>
      <c r="F15" s="2">
        <v>46124.0</v>
      </c>
      <c r="G15" s="1" t="s">
        <v>48</v>
      </c>
      <c r="H15" s="1">
        <v>16.0</v>
      </c>
      <c r="I15" s="1" t="s">
        <v>22</v>
      </c>
      <c r="J15" s="1" t="s">
        <v>32</v>
      </c>
    </row>
    <row r="16">
      <c r="A16" s="1" t="s">
        <v>53</v>
      </c>
      <c r="B16" s="1" t="s">
        <v>40</v>
      </c>
      <c r="C16" s="1" t="s">
        <v>41</v>
      </c>
      <c r="D16" s="1" t="s">
        <v>36</v>
      </c>
      <c r="E16" s="1" t="s">
        <v>14</v>
      </c>
      <c r="F16" s="2">
        <v>46125.0</v>
      </c>
      <c r="G16" s="2">
        <v>46125.0</v>
      </c>
      <c r="H16" s="1">
        <v>4.0</v>
      </c>
      <c r="I16" s="1" t="s">
        <v>15</v>
      </c>
      <c r="J16" s="1" t="s">
        <v>42</v>
      </c>
    </row>
  </sheetData>
  <autoFilter ref="$A$1:$J$16"/>
  <drawing r:id="rId1"/>
</worksheet>
</file>